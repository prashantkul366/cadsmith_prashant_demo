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ibition Overview" sheetId="1" state="visible" r:id="rId3"/>
    <sheet name="Visitor Experience" sheetId="2" state="visible" r:id="rId4"/>
    <sheet name="Demo Setup" sheetId="3" state="visible" r:id="rId5"/>
    <sheet name="Risks &amp; Fallbacks" sheetId="4" state="visible" r:id="rId6"/>
    <sheet name="Facts &amp; Figures" sheetId="5" state="visible" r:id="rId7"/>
    <sheet name="Attribu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Denominator for the evaluation percentages: prompts that actually reached the model.</t>
        </r>
      </text>
    </comment>
  </commentList>
</comments>
</file>

<file path=xl/sharedStrings.xml><?xml version="1.0" encoding="utf-8"?>
<sst xmlns="http://schemas.openxmlformats.org/spreadsheetml/2006/main" count="384" uniqueCount="310">
  <si>
    <t xml:space="preserve">CADSmith — Exhibition Overview</t>
  </si>
  <si>
    <t xml:space="preserve">One-page summary of the exhibit. Yellow cells are for the presenter to fill in.</t>
  </si>
  <si>
    <t xml:space="preserve">Item</t>
  </si>
  <si>
    <t xml:space="preserve">Entry</t>
  </si>
  <si>
    <t xml:space="preserve">Notes for the organiser</t>
  </si>
  <si>
    <t xml:space="preserve">Exhibit title</t>
  </si>
  <si>
    <t xml:space="preserve">CADSmith — describe a part in words, get manufacturable CAD</t>
  </si>
  <si>
    <t xml:space="preserve">Short form: “Text to manufacturable CAD”.</t>
  </si>
  <si>
    <t xml:space="preserve">One-line pitch</t>
  </si>
  <si>
    <t xml:space="preserve">Type a part in plain English or Japanese; five AI agents plan it, write CAD code and build it in a real CAD kernel; the kernel measures the result and rejects it if the dimensions are wrong.</t>
  </si>
  <si>
    <t xml:space="preserve">The point of difference is the measurement, not the generation.</t>
  </si>
  <si>
    <t xml:space="preserve">Category</t>
  </si>
  <si>
    <t xml:space="preserve">AI / Design automation / Manufacturing software</t>
  </si>
  <si>
    <t xml:space="preserve">What a visitor sees</t>
  </si>
  <si>
    <t xml:space="preserve">A live web app. A part appears in 3D in seconds, with its CadQuery source, its measured dimensions, an A3 engineering drawing and downloadable STEP / STL / DXF.</t>
  </si>
  <si>
    <t xml:space="preserve">Everything on screen is produced live; nothing is a video or a mock-up.</t>
  </si>
  <si>
    <t xml:space="preserve">Why it matters</t>
  </si>
  <si>
    <t xml:space="preserve">Text-to-CAD systems usually generate a shape that looks right. A part that looks right but is 3 mm out cannot be manufactured. CADSmith closes the loop with exact kernel measurements, so a wrong part is caught and corrected rather than shipped.</t>
  </si>
  <si>
    <t xml:space="preserve">This is the sentence to lead with for a non-technical visitor.</t>
  </si>
  <si>
    <t xml:space="preserve">Who should see it</t>
  </si>
  <si>
    <t xml:space="preserve">Mechanical and manufacturing engineers, CAD/PLM teams, design-automation and R&amp;D groups, anyone evaluating generative AI for physical products.</t>
  </si>
  <si>
    <t xml:space="preserve">Time per visitor</t>
  </si>
  <si>
    <t xml:space="preserve">60 seconds for the core demo; 5 minutes for the full walkthrough.</t>
  </si>
  <si>
    <t xml:space="preserve">Scripts on the ‘Visitor Experience’ sheet.</t>
  </si>
  <si>
    <t xml:space="preserve">Languages on the stand</t>
  </si>
  <si>
    <t xml:space="preserve">English and Japanese — the entire interface, the run log, the verdicts, the drawing title block and the example prompts.</t>
  </si>
  <si>
    <t xml:space="preserve">Switch in the header; a Japanese request for a standard part is understood as typed.</t>
  </si>
  <si>
    <t xml:space="preserve">Interaction</t>
  </si>
  <si>
    <t xml:space="preserve">Visitors may type their own part. A one-click prompt list is on screen for those who would rather watch.</t>
  </si>
  <si>
    <t xml:space="preserve">Runs without internet</t>
  </si>
  <si>
    <t xml:space="preserve">Yes, in part. Standard parts (18 families), parameter edits, drawings, exports and recorded run replays all work with no network and no API key. Only the five agents need a model backend.</t>
  </si>
  <si>
    <t xml:space="preserve">This is the fallback if the venue network fails.</t>
  </si>
  <si>
    <t xml:space="preserve">Hardware brought</t>
  </si>
  <si>
    <t xml:space="preserve">One laptop (Python 3.11, no GPU required) and, if the stand provides one, an external monitor or large display.</t>
  </si>
  <si>
    <t xml:space="preserve">See the ‘Demo Setup’ sheet for the full list.</t>
  </si>
  <si>
    <t xml:space="preserve">Model backend</t>
  </si>
  <si>
    <t xml:space="preserve">Claude on Amazon Bedrock (Sonnet 5 for planning and code, Opus 5 as the vision Judge). A local Qwen3-VL-8B was used for the offline evaluation.</t>
  </si>
  <si>
    <t xml:space="preserve">Any OpenAI-compatible endpoint also works.</t>
  </si>
  <si>
    <t xml:space="preserve">Status</t>
  </si>
  <si>
    <t xml:space="preserve">Working software. 33 automated tests and 11 browser test suites pass; evaluated end to end on 32 prompts against a local model.</t>
  </si>
  <si>
    <t xml:space="preserve">Numbers and their sources are on the ‘Facts &amp; Figures’ sheet.</t>
  </si>
  <si>
    <t xml:space="preserve">Presenter</t>
  </si>
  <si>
    <t xml:space="preserve">Name, title, organisation — fill in.</t>
  </si>
  <si>
    <t xml:space="preserve">Contact</t>
  </si>
  <si>
    <t xml:space="preserve">Email or QR destination — fill in.</t>
  </si>
  <si>
    <t xml:space="preserve">Attribution</t>
  </si>
  <si>
    <t xml:space="preserve">The research pipeline (autofab/) and its benchmark are by Jesse Barkley, Rumi Loghmani and Amir Barati Farimani (Carnegie Mellon University), arXiv:2603.26512. The exhibited application is built around that pipeline, which is unmodified.</t>
  </si>
  <si>
    <t xml:space="preserve">This credit must appear on the stand and in the deck.</t>
  </si>
  <si>
    <t xml:space="preserve">Every figure quoted on this sheet is sourced on the ‘Facts &amp; Figures’ tab.</t>
  </si>
  <si>
    <t xml:space="preserve">Visitor Experience — what happens, minute by minute</t>
  </si>
  <si>
    <t xml:space="preserve">Two scripts: a 60-second version for a passing visitor, and a 5-minute version for someone who stays.</t>
  </si>
  <si>
    <t xml:space="preserve">Time</t>
  </si>
  <si>
    <t xml:space="preserve">What the presenter does</t>
  </si>
  <si>
    <t xml:space="preserve">What the visitor sees</t>
  </si>
  <si>
    <t xml:space="preserve">The point being made</t>
  </si>
  <si>
    <t xml:space="preserve">If it goes wrong</t>
  </si>
  <si>
    <t xml:space="preserve">SHORT DEMO — 60 seconds</t>
  </si>
  <si>
    <t xml:space="preserve">0:00</t>
  </si>
  <si>
    <t xml:space="preserve">“Tell me a part you need.” Type it, or use the visitor's own words.</t>
  </si>
  <si>
    <t xml:space="preserve">An empty stand and a text box — no CAD interface to learn.</t>
  </si>
  <si>
    <t xml:space="preserve">The input is language, not a modelling tool.</t>
  </si>
  <si>
    <t xml:space="preserve">0:05</t>
  </si>
  <si>
    <t xml:space="preserve">Type: spur gear 50 mm diameter. Press Generate.</t>
  </si>
  <si>
    <t xml:space="preserve">The gear appears in about 2 seconds, fully formed.</t>
  </si>
  <si>
    <t xml:space="preserve">A standard part is served from the catalogue, exactly, with no model call at all.</t>
  </si>
  <si>
    <t xml:space="preserve">Nothing to go wrong — no network is used.</t>
  </si>
  <si>
    <t xml:space="preserve">0:15</t>
  </si>
  <si>
    <t xml:space="preserve">Point at the Properties panel.</t>
  </si>
  <si>
    <t xml:space="preserve">50 × 49.51 × 10 mm, 14,313 mm³, 129 faces, watertight solid, badged CATALOGUE.</t>
  </si>
  <si>
    <t xml:space="preserve">These are the CAD kernel's own measurements, not an estimate.</t>
  </si>
  <si>
    <t xml:space="preserve">0:25</t>
  </si>
  <si>
    <t xml:space="preserve">Drag the ‘Teeth number’ slider from 18 to 34.</t>
  </si>
  <si>
    <t xml:space="preserve">The gear rebuilds with 34 real involute teeth and the size updates.</t>
  </si>
  <si>
    <t xml:space="preserve">The output is parametric source, not a downloaded mesh — every number stays editable.</t>
  </si>
  <si>
    <t xml:space="preserve">0:40</t>
  </si>
  <si>
    <t xml:space="preserve">Switch to the Drawing tab.</t>
  </si>
  <si>
    <t xml:space="preserve">A dimensioned A3 sheet: four views, title block, first-angle projection.</t>
  </si>
  <si>
    <t xml:space="preserve">It ends in something a workshop can accept — DXF and STEP download from here.</t>
  </si>
  <si>
    <t xml:space="preserve">0:55</t>
  </si>
  <si>
    <r>
      <rPr>
        <sz val="10"/>
        <rFont val="Arial"/>
        <family val="0"/>
        <charset val="1"/>
      </rPr>
      <t xml:space="preserve">Click </t>
    </r>
    <r>
      <rPr>
        <sz val="10"/>
        <rFont val="WenQuanYi Zen Hei"/>
        <family val="2"/>
      </rPr>
      <t xml:space="preserve">日本語</t>
    </r>
    <r>
      <rPr>
        <sz val="10"/>
        <rFont val="Arial"/>
        <family val="0"/>
        <charset val="1"/>
      </rPr>
      <t xml:space="preserve">.</t>
    </r>
  </si>
  <si>
    <t xml:space="preserve">The entire interface, log and drawing title block turn Japanese.</t>
  </si>
  <si>
    <t xml:space="preserve">Built for a Japanese shop floor, not translated afterwards.</t>
  </si>
  <si>
    <t xml:space="preserve">FULL DEMO — 5 minutes</t>
  </si>
  <si>
    <t xml:space="preserve">1:00</t>
  </si>
  <si>
    <t xml:space="preserve">Type a part no standard covers, e.g. a NEMA 23 motor mounting plate, 100 mm square and 8 mm thick, with a 38.1 mm pilot bore.</t>
  </si>
  <si>
    <t xml:space="preserve">A design plan appears, then the agents' reasoning streams in as they work.</t>
  </si>
  <si>
    <t xml:space="preserve">Five agents: Planner, Coder, Executor, Validator (vision Judge), Refiner.</t>
  </si>
  <si>
    <t xml:space="preserve">If the backend is unreachable, replay a recorded run — real geometry, real verdicts.</t>
  </si>
  <si>
    <t xml:space="preserve">2:00</t>
  </si>
  <si>
    <t xml:space="preserve">Open the Code tab while it runs.</t>
  </si>
  <si>
    <t xml:space="preserve">The CadQuery Python the Coder actually wrote, updating per iteration.</t>
  </si>
  <si>
    <t xml:space="preserve">No black box: the artefact is readable, versioned source.</t>
  </si>
  <si>
    <t xml:space="preserve">2:40</t>
  </si>
  <si>
    <t xml:space="preserve">Open the Validation panel.</t>
  </si>
  <si>
    <t xml:space="preserve">Each claim the plan made, measured against the built solid, pass or fail.</t>
  </si>
  <si>
    <t xml:space="preserve">The kernel overrules the vision Judge: a four-hole plate with one hole is blocked however confident the Judge was.</t>
  </si>
  <si>
    <t xml:space="preserve">3:30</t>
  </si>
  <si>
    <t xml:space="preserve">Show the iteration filmstrip.</t>
  </si>
  <si>
    <t xml:space="preserve">Every attempt kept, with its verdict — including the rejected ones.</t>
  </si>
  <si>
    <t xml:space="preserve">The correction loop is visible, and failures are not hidden.</t>
  </si>
  <si>
    <t xml:space="preserve">4:10</t>
  </si>
  <si>
    <t xml:space="preserve">Open the token strip.</t>
  </si>
  <si>
    <t xml:space="preserve">Tokens spent per agent, and a hard ceiling per run.</t>
  </si>
  <si>
    <t xml:space="preserve">A loop that will not converge is a bill; the ceiling stops it.</t>
  </si>
  <si>
    <t xml:space="preserve">4:40</t>
  </si>
  <si>
    <t xml:space="preserve">Export STEP and hand over the QR / contact card.</t>
  </si>
  <si>
    <t xml:space="preserve">A real STEP file lands in the downloads folder.</t>
  </si>
  <si>
    <t xml:space="preserve">It leaves the stand as a file their own CAD system opens.</t>
  </si>
  <si>
    <t xml:space="preserve">Demo Setup — what the stand needs</t>
  </si>
  <si>
    <t xml:space="preserve">Set Status to Ready / Pending / Blocked. The counters below read the Status column.</t>
  </si>
  <si>
    <t xml:space="preserve">Area</t>
  </si>
  <si>
    <t xml:space="preserve">Detail</t>
  </si>
  <si>
    <t xml:space="preserve">Owner / note</t>
  </si>
  <si>
    <t xml:space="preserve">Hardware</t>
  </si>
  <si>
    <t xml:space="preserve">Laptop</t>
  </si>
  <si>
    <t xml:space="preserve">Python 3.11, 8 GB RAM, no GPU. Everything runs locally except the model calls.</t>
  </si>
  <si>
    <t xml:space="preserve">Pending</t>
  </si>
  <si>
    <t xml:space="preserve">Display</t>
  </si>
  <si>
    <t xml:space="preserve">External monitor or the stand's screen, 1920×1080 or better. The app is designed for a wide window.</t>
  </si>
  <si>
    <t xml:space="preserve">Venue</t>
  </si>
  <si>
    <t xml:space="preserve">Power</t>
  </si>
  <si>
    <t xml:space="preserve">One socket for the laptop, one for the display.</t>
  </si>
  <si>
    <t xml:space="preserve">Mouse</t>
  </si>
  <si>
    <t xml:space="preserve">A real mouse — the 3D view is orbited by dragging.</t>
  </si>
  <si>
    <t xml:space="preserve">Software</t>
  </si>
  <si>
    <t xml:space="preserve">Application</t>
  </si>
  <si>
    <t xml:space="preserve">git checkout + python -m venv .venv + pip install -r app/requirements-app.txt</t>
  </si>
  <si>
    <t xml:space="preserve">Preflight</t>
  </si>
  <si>
    <t xml:space="preserve">python -m app.tools.doctor — reports Python, CadQuery, VTK, the model backend and the certificate store before the first visitor.</t>
  </si>
  <si>
    <t xml:space="preserve">Headless render</t>
  </si>
  <si>
    <t xml:space="preserve">On Linux install libosmesa6, or the vision Judge silently loses its renders.</t>
  </si>
  <si>
    <t xml:space="preserve">Seeded runs</t>
  </si>
  <si>
    <t xml:space="preserve">python -m app.tools.seed_demo_run — two runs with real geometry to replay if the network fails.</t>
  </si>
  <si>
    <t xml:space="preserve">Backend</t>
  </si>
  <si>
    <t xml:space="preserve">Amazon Bedrock</t>
  </si>
  <si>
    <t xml:space="preserve">Region and model access enabled for Claude Sonnet 5 and Opus 5; credentials in .env, never in the repository.</t>
  </si>
  <si>
    <t xml:space="preserve">Token ceiling</t>
  </si>
  <si>
    <t xml:space="preserve">CADSMITH_TOKEN_BUDGET (250,000 per run by default) so a non-converging demo cannot run up a bill.</t>
  </si>
  <si>
    <t xml:space="preserve">Offline path</t>
  </si>
  <si>
    <t xml:space="preserve">Catalogue parts, parameter edits, drawings, exports and replays need no backend at all.</t>
  </si>
  <si>
    <t xml:space="preserve">Ready</t>
  </si>
  <si>
    <t xml:space="preserve">Built in</t>
  </si>
  <si>
    <t xml:space="preserve">Network</t>
  </si>
  <si>
    <t xml:space="preserve">Outbound HTTPS</t>
  </si>
  <si>
    <t xml:space="preserve">To the Bedrock endpoint. Venue Wi-Fi is enough; a phone hotspot is the backup.</t>
  </si>
  <si>
    <t xml:space="preserve">No inbound</t>
  </si>
  <si>
    <t xml:space="preserve">The app serves on 127.0.0.1 only. Nothing is exposed.</t>
  </si>
  <si>
    <t xml:space="preserve">Space</t>
  </si>
  <si>
    <t xml:space="preserve">Table</t>
  </si>
  <si>
    <t xml:space="preserve">Enough depth for a laptop plus the visitor to type on it.</t>
  </si>
  <si>
    <t xml:space="preserve">Signage</t>
  </si>
  <si>
    <t xml:space="preserve">The one-line pitch, plus the Carnegie Mellon attribution.</t>
  </si>
  <si>
    <t xml:space="preserve">Content</t>
  </si>
  <si>
    <t xml:space="preserve">Prompt list</t>
  </si>
  <si>
    <t xml:space="preserve">On-screen benchmark prompts in both languages, one click each.</t>
  </si>
  <si>
    <t xml:space="preserve">Handout</t>
  </si>
  <si>
    <t xml:space="preserve">QR to the repository or contact card.</t>
  </si>
  <si>
    <t xml:space="preserve">Items total</t>
  </si>
  <si>
    <t xml:space="preserve">Still to do</t>
  </si>
  <si>
    <t xml:space="preserve">Percent ready</t>
  </si>
  <si>
    <t xml:space="preserve">Risks &amp; Fallbacks</t>
  </si>
  <si>
    <t xml:space="preserve">Likelihood and Impact are 1–5. Severity multiplies them; sort by it before the show.</t>
  </si>
  <si>
    <t xml:space="preserve">Risk</t>
  </si>
  <si>
    <t xml:space="preserve">What it looks like on the stand</t>
  </si>
  <si>
    <t xml:space="preserve">Likelihood</t>
  </si>
  <si>
    <t xml:space="preserve">Impact</t>
  </si>
  <si>
    <t xml:space="preserve">Severity</t>
  </si>
  <si>
    <t xml:space="preserve">Mitigation already in place</t>
  </si>
  <si>
    <t xml:space="preserve">Fallback on the day</t>
  </si>
  <si>
    <t xml:space="preserve">Venue network is down or filtered</t>
  </si>
  <si>
    <t xml:space="preserve">The five agents cannot reach the model backend.</t>
  </si>
  <si>
    <t xml:space="preserve">Standard parts, parameter edits, drawings, exports and run replays were built to work with no backend at all.</t>
  </si>
  <si>
    <t xml:space="preserve">Demo the catalogue path and replay a seeded run; both are real geometry.</t>
  </si>
  <si>
    <t xml:space="preserve">Corporate TLS interception</t>
  </si>
  <si>
    <t xml:space="preserve">Model calls fail with CERTIFICATE_VERIFY_FAILED.</t>
  </si>
  <si>
    <t xml:space="preserve">The app uses the operating system's certificate store (truststore) and honours SSL_CERT_FILE / REQUESTS_CA_BUNDLE. Verification is never disabled.</t>
  </si>
  <si>
    <t xml:space="preserve">Phone hotspot, or run the offline path.</t>
  </si>
  <si>
    <t xml:space="preserve">A live prompt fails to build</t>
  </si>
  <si>
    <t xml:space="preserve">A visitor's own wording produces no valid solid.</t>
  </si>
  <si>
    <t xml:space="preserve">Every attempt is kept and shown with its verdict; the run log says exactly which check failed.</t>
  </si>
  <si>
    <t xml:space="preserve">Say so plainly, show the failed attempt, then run a known-good prompt. A visible failure is better evidence than a hidden one.</t>
  </si>
  <si>
    <t xml:space="preserve">A run will not converge and keeps spending</t>
  </si>
  <si>
    <t xml:space="preserve">Iteration after iteration on a metered backend.</t>
  </si>
  <si>
    <t xml:space="preserve">A per-run token ceiling (250,000 by default) is checked before every call; the run stops and keeps what it produced.</t>
  </si>
  <si>
    <t xml:space="preserve">Stop the run and switch to a catalogue part.</t>
  </si>
  <si>
    <t xml:space="preserve">The demo is slow at the wrong moment</t>
  </si>
  <si>
    <t xml:space="preserve">An agent run takes minutes while someone waits.</t>
  </si>
  <si>
    <t xml:space="preserve">Catalogue parts answer in about 2 seconds; parameter edits rebuild in about a second without a model call.</t>
  </si>
  <si>
    <t xml:space="preserve">Open with the 2-second gear, start the long run, and talk over it.</t>
  </si>
  <si>
    <t xml:space="preserve">Headless graphics stack missing</t>
  </si>
  <si>
    <t xml:space="preserve">The vision Judge silently loses its renders.</t>
  </si>
  <si>
    <t xml:space="preserve">The preflight names the missing rasteriser, and the health chip shows it before the first run.</t>
  </si>
  <si>
    <t xml:space="preserve">Install libosmesa6, or present the kernel-measured checks, which do not need it.</t>
  </si>
  <si>
    <t xml:space="preserve">A visitor asks what is actually new here</t>
  </si>
  <si>
    <t xml:space="preserve">Credit for the underlying research is at stake.</t>
  </si>
  <si>
    <t xml:space="preserve">The research pipeline is credited on the stand, in the deck and in the repository, and it is unmodified.</t>
  </si>
  <si>
    <t xml:space="preserve">Answer directly: the pipeline is Carnegie Mellon's; the application, the standard-parts catalogue, the measured checks, the drawings, the spend ceiling and the bilingual interface are this work.</t>
  </si>
  <si>
    <t xml:space="preserve">A visitor asks for a part with no standard</t>
  </si>
  <si>
    <t xml:space="preserve">Ambiguous or under-specified request.</t>
  </si>
  <si>
    <t xml:space="preserve">The catalogue refuses anything ambiguous and hands it to the agents rather than guessing.</t>
  </si>
  <si>
    <t xml:space="preserve">Let it run, and use the design plan to show what it understood.</t>
  </si>
  <si>
    <t xml:space="preserve">Laptop sleeps or updates mid-show</t>
  </si>
  <si>
    <t xml:space="preserve">Black screen in front of a visitor.</t>
  </si>
  <si>
    <t xml:space="preserve">None — this is operational.</t>
  </si>
  <si>
    <t xml:space="preserve">Disable sleep and automatic updates before the doors open; keep the app running.</t>
  </si>
  <si>
    <t xml:space="preserve">Highest severity</t>
  </si>
  <si>
    <t xml:space="preserve">Risks scoring 12 or more</t>
  </si>
  <si>
    <t xml:space="preserve">Headline mitigation: the parts of the demo a visitor sees first — the catalogue, the parameter sliders, the drawing, the exports — need no network and no API key.</t>
  </si>
  <si>
    <t xml:space="preserve">Facts &amp; Figures — every number, with its source</t>
  </si>
  <si>
    <t xml:space="preserve">Nothing here is an estimate. Percentages are computed by formula from the counts beside them.</t>
  </si>
  <si>
    <t xml:space="preserve">Measure</t>
  </si>
  <si>
    <t xml:space="preserve">Value</t>
  </si>
  <si>
    <t xml:space="preserve">Derived</t>
  </si>
  <si>
    <t xml:space="preserve">Source / how it was measured</t>
  </si>
  <si>
    <t xml:space="preserve">Scale of the work</t>
  </si>
  <si>
    <t xml:space="preserve">Application code — Python (app/)</t>
  </si>
  <si>
    <t xml:space="preserve">wc -l over app/catalog, app/server, app/tests, app/tools on 2026-09-24. Excludes generated run artefacts.</t>
  </si>
  <si>
    <t xml:space="preserve">Application code — browser JavaScript</t>
  </si>
  <si>
    <t xml:space="preserve">wc -l over app/web/*.js.</t>
  </si>
  <si>
    <t xml:space="preserve">Application code — CSS and HTML</t>
  </si>
  <si>
    <t xml:space="preserve">app/web/style.css (1,120) + app/web/index.html (456).</t>
  </si>
  <si>
    <t xml:space="preserve">Research pipeline, unmodified (autofab/)</t>
  </si>
  <si>
    <t xml:space="preserve">wc -l over autofab/*.py. Not changed by this work.</t>
  </si>
  <si>
    <t xml:space="preserve">Testing</t>
  </si>
  <si>
    <t xml:space="preserve">Automated tests (pytest)</t>
  </si>
  <si>
    <t xml:space="preserve">python -m pytest app/tests --collect-only, 2026-09-24. 18 test modules.</t>
  </si>
  <si>
    <t xml:space="preserve">Browser test suites (Playwright)</t>
  </si>
  <si>
    <t xml:space="preserve">app/tests/ui_*.py — each drives the real interface in Chromium.</t>
  </si>
  <si>
    <t xml:space="preserve">Catalogue</t>
  </si>
  <si>
    <t xml:space="preserve">Standard part families served without a model call</t>
  </si>
  <si>
    <t xml:space="preserve">app/catalog/parts.py BUILDERS: bearings, bolts, nuts, washers, screws, pins, o-rings, springs, pulleys, gears, shafts, keys, bushings, rings, collars, couplings, set screws, threaded rod.</t>
  </si>
  <si>
    <t xml:space="preserve">Catalogue prompts built correctly (evaluation)</t>
  </si>
  <si>
    <t xml:space="preserve">7 of 7. Local evaluation run, see below.</t>
  </si>
  <si>
    <t xml:space="preserve">Mean time to serve a catalogue part</t>
  </si>
  <si>
    <t xml:space="preserve">Seconds. Mean of 7 catalogue cases in the local evaluation (2.0–2.8 s).</t>
  </si>
  <si>
    <t xml:space="preserve">Model tokens spent on a catalogue part</t>
  </si>
  <si>
    <t xml:space="preserve">No model call is made; the part comes from the published standard.</t>
  </si>
  <si>
    <t xml:space="preserve">Local evaluation</t>
  </si>
  <si>
    <t xml:space="preserve">Prompts in the sweep</t>
  </si>
  <si>
    <t xml:space="preserve">Five tiers: catalogue, easy, medium, hard, very hard. Model: Qwen3-VL-8B running on the presenter's own machine.</t>
  </si>
  <si>
    <t xml:space="preserve">Prompts that reached the model</t>
  </si>
  <si>
    <t xml:space="preserve">7 were lost to the tunnel between the app and the local model timing out (HTTP 524) — an infrastructure limit of that setup, not a result.</t>
  </si>
  <si>
    <t xml:space="preserve">Prompts that produced a valid solid</t>
  </si>
  <si>
    <t xml:space="preserve">Of the 25 that reached the model.</t>
  </si>
  <si>
    <t xml:space="preserve">Prompts correct on every measured check</t>
  </si>
  <si>
    <t xml:space="preserve">Catalogue 7/7, easy 5/7, medium 1/6, hard 0/3, very hard 1/2.</t>
  </si>
  <si>
    <t xml:space="preserve">Individual dimensional checks passed</t>
  </si>
  <si>
    <t xml:space="preserve">95 of 112 measured checks across the sweep.</t>
  </si>
  <si>
    <t xml:space="preserve">Mean time for an agent-built part</t>
  </si>
  <si>
    <t xml:space="preserve">Seconds; median 110 s. 15 non-catalogue builds. A small local model on a laptop; a hosted model is faster.</t>
  </si>
  <si>
    <t xml:space="preserve">Model tokens across the sweep</t>
  </si>
  <si>
    <t xml:space="preserve">Reported by the provider, summed over 139 model calls.</t>
  </si>
  <si>
    <t xml:space="preserve">Published research</t>
  </si>
  <si>
    <t xml:space="preserve">Executable output — zero-shot, single call</t>
  </si>
  <si>
    <t xml:space="preserve">Barkley, Loghmani &amp; Barati Farimani, arXiv:2603.26512, Results table.</t>
  </si>
  <si>
    <t xml:space="preserve">Executable output — full pipeline, no vision</t>
  </si>
  <si>
    <t xml:space="preserve">Same source.</t>
  </si>
  <si>
    <t xml:space="preserve">Executable output — full pipeline with vision</t>
  </si>
  <si>
    <t xml:space="preserve">Mean Chamfer Distance — zero-shot</t>
  </si>
  <si>
    <t xml:space="preserve">Same source. Millimetres, ICP-aligned.</t>
  </si>
  <si>
    <t xml:space="preserve">Mean Chamfer Distance — full pipeline with vision</t>
  </si>
  <si>
    <t xml:space="preserve">Same source. A 38× reduction against zero-shot.</t>
  </si>
  <si>
    <t xml:space="preserve">Median volumetric IoU — full pipeline with vision</t>
  </si>
  <si>
    <t xml:space="preserve">Benchmark size</t>
  </si>
  <si>
    <t xml:space="preserve">100 hand-written prompts in three tiers; every reference script written and inspected by hand.</t>
  </si>
  <si>
    <t xml:space="preserve">Cost control</t>
  </si>
  <si>
    <t xml:space="preserve">Default token ceiling per run</t>
  </si>
  <si>
    <t xml:space="preserve">CADSMITH_TOKEN_BUDGET. Checked before every call; the run stops and keeps what it produced.</t>
  </si>
  <si>
    <t xml:space="preserve">Output</t>
  </si>
  <si>
    <t xml:space="preserve">Views on the generated drawing sheet</t>
  </si>
  <si>
    <t xml:space="preserve">Front, left, top and isometric on an A3 sheet with a title block, first-angle projection.</t>
  </si>
  <si>
    <t xml:space="preserve">Export formats</t>
  </si>
  <si>
    <t xml:space="preserve">STEP, STL, GLTF, DXF and the CadQuery source itself.</t>
  </si>
  <si>
    <t xml:space="preserve">Languages</t>
  </si>
  <si>
    <t xml:space="preserve">Interface languages</t>
  </si>
  <si>
    <t xml:space="preserve">English and Japanese, including the run log, verdicts, drawing title block and benchmark prompts.</t>
  </si>
  <si>
    <t xml:space="preserve">The local evaluation is evidence that the loop works end to end on a small open model, not a claim about state of the art. The published table is the research team's, measured on their benchmark.</t>
  </si>
  <si>
    <t xml:space="preserve">Attribution — who did what</t>
  </si>
  <si>
    <t xml:space="preserve">This division must be stated on the stand, in the deck and in any handout.</t>
  </si>
  <si>
    <t xml:space="preserve">Component</t>
  </si>
  <si>
    <t xml:space="preserve">What it is</t>
  </si>
  <si>
    <t xml:space="preserve">Whose work</t>
  </si>
  <si>
    <t xml:space="preserve">autofab/ — the CADSmith pipeline</t>
  </si>
  <si>
    <t xml:space="preserve">Planner, Coder, Executor, Validator with vision Judge, Refiner; the two correction loops; retrieval over the CadQuery API.</t>
  </si>
  <si>
    <t xml:space="preserve">Jesse Barkley, Rumi Loghmani, Amir Barati Farimani — Carnegie Mellon University. arXiv:2603.26512. Used unmodified.</t>
  </si>
  <si>
    <t xml:space="preserve">data/ — the benchmark</t>
  </si>
  <si>
    <t xml:space="preserve">100 hand-written prompts in three tiers with hand-checked reference scripts.</t>
  </si>
  <si>
    <t xml:space="preserve">Same authors.</t>
  </si>
  <si>
    <t xml:space="preserve">Published results</t>
  </si>
  <si>
    <t xml:space="preserve">Execution rate, Chamfer Distance, F1 and volumetric IoU.</t>
  </si>
  <si>
    <t xml:space="preserve">Same authors, measured on their benchmark.</t>
  </si>
  <si>
    <t xml:space="preserve">app/ — the web application</t>
  </si>
  <si>
    <t xml:space="preserve">Browser interface, job server, live reasoning stream, iteration filmstrip, run history, exports.</t>
  </si>
  <si>
    <t xml:space="preserve">This work.</t>
  </si>
  <si>
    <t xml:space="preserve">Standard-parts catalogue</t>
  </si>
  <si>
    <t xml:space="preserve">18 families built to published standards and served exactly, with no model call, plus the router that refuses ambiguous requests.</t>
  </si>
  <si>
    <t xml:space="preserve">Measured specification checks</t>
  </si>
  <si>
    <t xml:space="preserve">The built solid is measured for what the plan claimed; a measurable shortfall blocks the version whatever the vision Judge said.</t>
  </si>
  <si>
    <t xml:space="preserve">Engineering drawings</t>
  </si>
  <si>
    <t xml:space="preserve">A3 sheet, four projected views, dimensions, title block, DXF export.</t>
  </si>
  <si>
    <t xml:space="preserve">Parametric editing</t>
  </si>
  <si>
    <t xml:space="preserve">Sliders over the generated script's own parameters; the kernel rebuilds in about a second with no model call.</t>
  </si>
  <si>
    <t xml:space="preserve">Spend ceiling and instrumentation</t>
  </si>
  <si>
    <t xml:space="preserve">Per-run token budget, per-agent spend, full event log.</t>
  </si>
  <si>
    <t xml:space="preserve">English and Japanese interface</t>
  </si>
  <si>
    <t xml:space="preserve">Including Japanese parameter edits and Japanese requests for standard parts, both without a model call.</t>
  </si>
  <si>
    <t xml:space="preserve">Amazon Bedrock support</t>
  </si>
  <si>
    <t xml:space="preserve">Claude on Bedrock alongside the Anthropic, OpenAI-compatible and local-model paths.</t>
  </si>
  <si>
    <t xml:space="preserve">Citation</t>
  </si>
  <si>
    <t xml:space="preserve">Barkley, J., Loghmani, R., &amp; Barati Farimani, A. CADSmith: Multi-Agent CAD Generation with Programmatic Geometric Validation. arXiv:2603.26512.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</si>
</sst>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true" outlineLevel="0" collapsed="false">
      <c r="A5" s="4" t="s">
        <v>5</v>
      </c>
      <c r="B5" s="5" t="s">
        <v>6</v>
      </c>
      <c r="C5" s="6" t="s">
        <v>7</v>
      </c>
    </row>
    <row r="6" customFormat="false" ht="45" hidden="false" customHeight="true" outlineLevel="0" collapsed="false">
      <c r="A6" s="4" t="s">
        <v>8</v>
      </c>
      <c r="B6" s="5" t="s">
        <v>9</v>
      </c>
      <c r="C6" s="6" t="s">
        <v>10</v>
      </c>
    </row>
    <row r="7" customFormat="false" ht="15" hidden="false" customHeight="true" outlineLevel="0" collapsed="false">
      <c r="A7" s="4" t="s">
        <v>11</v>
      </c>
      <c r="B7" s="5" t="s">
        <v>12</v>
      </c>
      <c r="C7" s="6"/>
    </row>
    <row r="8" customFormat="false" ht="45" hidden="false" customHeight="true" outlineLevel="0" collapsed="false">
      <c r="A8" s="4" t="s">
        <v>13</v>
      </c>
      <c r="B8" s="5" t="s">
        <v>14</v>
      </c>
      <c r="C8" s="6" t="s">
        <v>15</v>
      </c>
    </row>
    <row r="9" customFormat="false" ht="60" hidden="false" customHeight="true" outlineLevel="0" collapsed="false">
      <c r="A9" s="4" t="s">
        <v>16</v>
      </c>
      <c r="B9" s="5" t="s">
        <v>17</v>
      </c>
      <c r="C9" s="6" t="s">
        <v>18</v>
      </c>
    </row>
    <row r="10" customFormat="false" ht="30" hidden="false" customHeight="true" outlineLevel="0" collapsed="false">
      <c r="A10" s="4" t="s">
        <v>19</v>
      </c>
      <c r="B10" s="5" t="s">
        <v>20</v>
      </c>
      <c r="C10" s="6"/>
    </row>
    <row r="11" customFormat="false" ht="15" hidden="false" customHeight="true" outlineLevel="0" collapsed="false">
      <c r="A11" s="4" t="s">
        <v>21</v>
      </c>
      <c r="B11" s="5" t="s">
        <v>22</v>
      </c>
      <c r="C11" s="6" t="s">
        <v>23</v>
      </c>
    </row>
    <row r="12" customFormat="false" ht="30" hidden="false" customHeight="true" outlineLevel="0" collapsed="false">
      <c r="A12" s="4" t="s">
        <v>24</v>
      </c>
      <c r="B12" s="5" t="s">
        <v>25</v>
      </c>
      <c r="C12" s="6" t="s">
        <v>26</v>
      </c>
    </row>
    <row r="13" customFormat="false" ht="30" hidden="false" customHeight="true" outlineLevel="0" collapsed="false">
      <c r="A13" s="4" t="s">
        <v>27</v>
      </c>
      <c r="B13" s="5" t="s">
        <v>28</v>
      </c>
      <c r="C13" s="6"/>
    </row>
    <row r="14" customFormat="false" ht="45" hidden="false" customHeight="true" outlineLevel="0" collapsed="false">
      <c r="A14" s="4" t="s">
        <v>29</v>
      </c>
      <c r="B14" s="5" t="s">
        <v>30</v>
      </c>
      <c r="C14" s="6" t="s">
        <v>31</v>
      </c>
    </row>
    <row r="15" customFormat="false" ht="30" hidden="false" customHeight="true" outlineLevel="0" collapsed="false">
      <c r="A15" s="4" t="s">
        <v>32</v>
      </c>
      <c r="B15" s="5" t="s">
        <v>33</v>
      </c>
      <c r="C15" s="6" t="s">
        <v>34</v>
      </c>
    </row>
    <row r="16" customFormat="false" ht="30" hidden="false" customHeight="true" outlineLevel="0" collapsed="false">
      <c r="A16" s="4" t="s">
        <v>35</v>
      </c>
      <c r="B16" s="5" t="s">
        <v>36</v>
      </c>
      <c r="C16" s="6" t="s">
        <v>37</v>
      </c>
    </row>
    <row r="17" customFormat="false" ht="30" hidden="false" customHeight="true" outlineLevel="0" collapsed="false">
      <c r="A17" s="4" t="s">
        <v>38</v>
      </c>
      <c r="B17" s="5" t="s">
        <v>39</v>
      </c>
      <c r="C17" s="6" t="s">
        <v>40</v>
      </c>
    </row>
    <row r="18" customFormat="false" ht="15" hidden="false" customHeight="true" outlineLevel="0" collapsed="false">
      <c r="A18" s="4" t="s">
        <v>41</v>
      </c>
      <c r="B18" s="7"/>
      <c r="C18" s="6" t="s">
        <v>42</v>
      </c>
    </row>
    <row r="19" customFormat="false" ht="15" hidden="false" customHeight="true" outlineLevel="0" collapsed="false">
      <c r="A19" s="4" t="s">
        <v>43</v>
      </c>
      <c r="B19" s="7"/>
      <c r="C19" s="6" t="s">
        <v>44</v>
      </c>
    </row>
    <row r="20" customFormat="false" ht="60" hidden="false" customHeight="true" outlineLevel="0" collapsed="false">
      <c r="A20" s="4" t="s">
        <v>45</v>
      </c>
      <c r="B20" s="5" t="s">
        <v>46</v>
      </c>
      <c r="C20" s="6" t="s">
        <v>47</v>
      </c>
    </row>
    <row r="22" customFormat="false" ht="15" hidden="false" customHeight="false" outlineLevel="0" collapsed="false">
      <c r="A22" s="8" t="s">
        <v>48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49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50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customFormat="false" ht="15" hidden="false" customHeight="false" outlineLevel="0" collapsed="false">
      <c r="A5" s="9" t="s">
        <v>56</v>
      </c>
      <c r="B5" s="9"/>
      <c r="C5" s="9"/>
      <c r="D5" s="9"/>
      <c r="E5" s="9"/>
    </row>
    <row r="6" customFormat="false" ht="23.85" hidden="false" customHeight="false" outlineLevel="0" collapsed="false">
      <c r="A6" s="10" t="s">
        <v>57</v>
      </c>
      <c r="B6" s="5" t="s">
        <v>58</v>
      </c>
      <c r="C6" s="5" t="s">
        <v>59</v>
      </c>
      <c r="D6" s="5" t="s">
        <v>60</v>
      </c>
      <c r="E6" s="5"/>
    </row>
    <row r="7" customFormat="false" ht="23.85" hidden="false" customHeight="false" outlineLevel="0" collapsed="false">
      <c r="A7" s="10" t="s">
        <v>61</v>
      </c>
      <c r="B7" s="5" t="s">
        <v>62</v>
      </c>
      <c r="C7" s="5" t="s">
        <v>63</v>
      </c>
      <c r="D7" s="5" t="s">
        <v>64</v>
      </c>
      <c r="E7" s="5" t="s">
        <v>65</v>
      </c>
    </row>
    <row r="8" customFormat="false" ht="23.85" hidden="false" customHeight="false" outlineLevel="0" collapsed="false">
      <c r="A8" s="10" t="s">
        <v>66</v>
      </c>
      <c r="B8" s="5" t="s">
        <v>67</v>
      </c>
      <c r="C8" s="5" t="s">
        <v>68</v>
      </c>
      <c r="D8" s="5" t="s">
        <v>69</v>
      </c>
      <c r="E8" s="5"/>
    </row>
    <row r="9" customFormat="false" ht="23.85" hidden="false" customHeight="false" outlineLevel="0" collapsed="false">
      <c r="A9" s="10" t="s">
        <v>70</v>
      </c>
      <c r="B9" s="5" t="s">
        <v>71</v>
      </c>
      <c r="C9" s="5" t="s">
        <v>72</v>
      </c>
      <c r="D9" s="5" t="s">
        <v>73</v>
      </c>
      <c r="E9" s="5"/>
    </row>
    <row r="10" customFormat="false" ht="23.85" hidden="false" customHeight="false" outlineLevel="0" collapsed="false">
      <c r="A10" s="10" t="s">
        <v>74</v>
      </c>
      <c r="B10" s="5" t="s">
        <v>75</v>
      </c>
      <c r="C10" s="5" t="s">
        <v>76</v>
      </c>
      <c r="D10" s="5" t="s">
        <v>77</v>
      </c>
      <c r="E10" s="5"/>
    </row>
    <row r="11" customFormat="false" ht="15" hidden="false" customHeight="false" outlineLevel="0" collapsed="false">
      <c r="A11" s="10" t="s">
        <v>78</v>
      </c>
      <c r="B11" s="5" t="s">
        <v>79</v>
      </c>
      <c r="C11" s="5" t="s">
        <v>80</v>
      </c>
      <c r="D11" s="5" t="s">
        <v>81</v>
      </c>
      <c r="E11" s="5"/>
    </row>
    <row r="12" customFormat="false" ht="15" hidden="false" customHeight="false" outlineLevel="0" collapsed="false">
      <c r="A12" s="9" t="s">
        <v>82</v>
      </c>
      <c r="B12" s="9"/>
      <c r="C12" s="9"/>
      <c r="D12" s="9"/>
      <c r="E12" s="9"/>
    </row>
    <row r="13" customFormat="false" ht="35.05" hidden="false" customHeight="false" outlineLevel="0" collapsed="false">
      <c r="A13" s="10" t="s">
        <v>83</v>
      </c>
      <c r="B13" s="5" t="s">
        <v>84</v>
      </c>
      <c r="C13" s="5" t="s">
        <v>85</v>
      </c>
      <c r="D13" s="5" t="s">
        <v>86</v>
      </c>
      <c r="E13" s="5" t="s">
        <v>87</v>
      </c>
    </row>
    <row r="14" customFormat="false" ht="15" hidden="false" customHeight="false" outlineLevel="0" collapsed="false">
      <c r="A14" s="10" t="s">
        <v>88</v>
      </c>
      <c r="B14" s="5" t="s">
        <v>89</v>
      </c>
      <c r="C14" s="5" t="s">
        <v>90</v>
      </c>
      <c r="D14" s="5" t="s">
        <v>91</v>
      </c>
      <c r="E14" s="5"/>
    </row>
    <row r="15" customFormat="false" ht="23.85" hidden="false" customHeight="false" outlineLevel="0" collapsed="false">
      <c r="A15" s="10" t="s">
        <v>92</v>
      </c>
      <c r="B15" s="5" t="s">
        <v>93</v>
      </c>
      <c r="C15" s="5" t="s">
        <v>94</v>
      </c>
      <c r="D15" s="5" t="s">
        <v>95</v>
      </c>
      <c r="E15" s="5"/>
    </row>
    <row r="16" customFormat="false" ht="15" hidden="false" customHeight="false" outlineLevel="0" collapsed="false">
      <c r="A16" s="10" t="s">
        <v>96</v>
      </c>
      <c r="B16" s="5" t="s">
        <v>97</v>
      </c>
      <c r="C16" s="5" t="s">
        <v>98</v>
      </c>
      <c r="D16" s="5" t="s">
        <v>99</v>
      </c>
      <c r="E16" s="5"/>
    </row>
    <row r="17" customFormat="false" ht="15" hidden="false" customHeight="false" outlineLevel="0" collapsed="false">
      <c r="A17" s="10" t="s">
        <v>100</v>
      </c>
      <c r="B17" s="5" t="s">
        <v>101</v>
      </c>
      <c r="C17" s="5" t="s">
        <v>102</v>
      </c>
      <c r="D17" s="5" t="s">
        <v>103</v>
      </c>
      <c r="E17" s="5"/>
    </row>
    <row r="18" customFormat="false" ht="15" hidden="false" customHeight="false" outlineLevel="0" collapsed="false">
      <c r="A18" s="10" t="s">
        <v>104</v>
      </c>
      <c r="B18" s="5" t="s">
        <v>105</v>
      </c>
      <c r="C18" s="5" t="s">
        <v>106</v>
      </c>
      <c r="D18" s="5" t="s">
        <v>107</v>
      </c>
      <c r="E18" s="5"/>
    </row>
  </sheetData>
  <mergeCells count="4">
    <mergeCell ref="A1:E1"/>
    <mergeCell ref="A2:E2"/>
    <mergeCell ref="A5:E5"/>
    <mergeCell ref="A12:E1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109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110</v>
      </c>
      <c r="B4" s="3" t="s">
        <v>2</v>
      </c>
      <c r="C4" s="3" t="s">
        <v>111</v>
      </c>
      <c r="D4" s="3" t="s">
        <v>38</v>
      </c>
      <c r="E4" s="3" t="s">
        <v>112</v>
      </c>
    </row>
    <row r="5" customFormat="false" ht="15" hidden="false" customHeight="false" outlineLevel="0" collapsed="false">
      <c r="A5" s="10" t="s">
        <v>113</v>
      </c>
      <c r="B5" s="10" t="s">
        <v>114</v>
      </c>
      <c r="C5" s="5" t="s">
        <v>115</v>
      </c>
      <c r="D5" s="5" t="s">
        <v>116</v>
      </c>
      <c r="E5" s="5" t="s">
        <v>41</v>
      </c>
    </row>
    <row r="6" customFormat="false" ht="23.85" hidden="false" customHeight="false" outlineLevel="0" collapsed="false">
      <c r="A6" s="10" t="s">
        <v>113</v>
      </c>
      <c r="B6" s="10" t="s">
        <v>117</v>
      </c>
      <c r="C6" s="5" t="s">
        <v>118</v>
      </c>
      <c r="D6" s="5" t="s">
        <v>116</v>
      </c>
      <c r="E6" s="5" t="s">
        <v>119</v>
      </c>
    </row>
    <row r="7" customFormat="false" ht="15" hidden="false" customHeight="false" outlineLevel="0" collapsed="false">
      <c r="A7" s="10" t="s">
        <v>113</v>
      </c>
      <c r="B7" s="10" t="s">
        <v>120</v>
      </c>
      <c r="C7" s="5" t="s">
        <v>121</v>
      </c>
      <c r="D7" s="5" t="s">
        <v>116</v>
      </c>
      <c r="E7" s="5" t="s">
        <v>119</v>
      </c>
    </row>
    <row r="8" customFormat="false" ht="15" hidden="false" customHeight="false" outlineLevel="0" collapsed="false">
      <c r="A8" s="10" t="s">
        <v>113</v>
      </c>
      <c r="B8" s="10" t="s">
        <v>122</v>
      </c>
      <c r="C8" s="5" t="s">
        <v>123</v>
      </c>
      <c r="D8" s="5" t="s">
        <v>116</v>
      </c>
      <c r="E8" s="5" t="s">
        <v>41</v>
      </c>
    </row>
    <row r="9" customFormat="false" ht="15" hidden="false" customHeight="false" outlineLevel="0" collapsed="false">
      <c r="A9" s="10" t="s">
        <v>124</v>
      </c>
      <c r="B9" s="10" t="s">
        <v>125</v>
      </c>
      <c r="C9" s="5" t="s">
        <v>126</v>
      </c>
      <c r="D9" s="5" t="s">
        <v>116</v>
      </c>
      <c r="E9" s="5" t="s">
        <v>41</v>
      </c>
    </row>
    <row r="10" customFormat="false" ht="23.85" hidden="false" customHeight="false" outlineLevel="0" collapsed="false">
      <c r="A10" s="10" t="s">
        <v>124</v>
      </c>
      <c r="B10" s="10" t="s">
        <v>127</v>
      </c>
      <c r="C10" s="5" t="s">
        <v>128</v>
      </c>
      <c r="D10" s="5" t="s">
        <v>116</v>
      </c>
      <c r="E10" s="5" t="s">
        <v>41</v>
      </c>
    </row>
    <row r="11" customFormat="false" ht="15" hidden="false" customHeight="false" outlineLevel="0" collapsed="false">
      <c r="A11" s="10" t="s">
        <v>124</v>
      </c>
      <c r="B11" s="10" t="s">
        <v>129</v>
      </c>
      <c r="C11" s="5" t="s">
        <v>130</v>
      </c>
      <c r="D11" s="5" t="s">
        <v>116</v>
      </c>
      <c r="E11" s="5" t="s">
        <v>41</v>
      </c>
    </row>
    <row r="12" customFormat="false" ht="23.85" hidden="false" customHeight="false" outlineLevel="0" collapsed="false">
      <c r="A12" s="10" t="s">
        <v>124</v>
      </c>
      <c r="B12" s="10" t="s">
        <v>131</v>
      </c>
      <c r="C12" s="5" t="s">
        <v>132</v>
      </c>
      <c r="D12" s="5" t="s">
        <v>116</v>
      </c>
      <c r="E12" s="5" t="s">
        <v>41</v>
      </c>
    </row>
    <row r="13" customFormat="false" ht="23.85" hidden="false" customHeight="false" outlineLevel="0" collapsed="false">
      <c r="A13" s="10" t="s">
        <v>133</v>
      </c>
      <c r="B13" s="10" t="s">
        <v>134</v>
      </c>
      <c r="C13" s="5" t="s">
        <v>135</v>
      </c>
      <c r="D13" s="5" t="s">
        <v>116</v>
      </c>
      <c r="E13" s="5" t="s">
        <v>41</v>
      </c>
    </row>
    <row r="14" customFormat="false" ht="23.85" hidden="false" customHeight="false" outlineLevel="0" collapsed="false">
      <c r="A14" s="10" t="s">
        <v>133</v>
      </c>
      <c r="B14" s="10" t="s">
        <v>136</v>
      </c>
      <c r="C14" s="5" t="s">
        <v>137</v>
      </c>
      <c r="D14" s="5" t="s">
        <v>116</v>
      </c>
      <c r="E14" s="5" t="s">
        <v>41</v>
      </c>
    </row>
    <row r="15" customFormat="false" ht="15" hidden="false" customHeight="false" outlineLevel="0" collapsed="false">
      <c r="A15" s="10" t="s">
        <v>133</v>
      </c>
      <c r="B15" s="10" t="s">
        <v>138</v>
      </c>
      <c r="C15" s="5" t="s">
        <v>139</v>
      </c>
      <c r="D15" s="5" t="s">
        <v>140</v>
      </c>
      <c r="E15" s="5" t="s">
        <v>141</v>
      </c>
    </row>
    <row r="16" customFormat="false" ht="15" hidden="false" customHeight="false" outlineLevel="0" collapsed="false">
      <c r="A16" s="10" t="s">
        <v>142</v>
      </c>
      <c r="B16" s="10" t="s">
        <v>143</v>
      </c>
      <c r="C16" s="5" t="s">
        <v>144</v>
      </c>
      <c r="D16" s="5" t="s">
        <v>116</v>
      </c>
      <c r="E16" s="5" t="s">
        <v>119</v>
      </c>
    </row>
    <row r="17" customFormat="false" ht="15" hidden="false" customHeight="false" outlineLevel="0" collapsed="false">
      <c r="A17" s="10" t="s">
        <v>142</v>
      </c>
      <c r="B17" s="10" t="s">
        <v>145</v>
      </c>
      <c r="C17" s="5" t="s">
        <v>146</v>
      </c>
      <c r="D17" s="5" t="s">
        <v>140</v>
      </c>
      <c r="E17" s="5" t="s">
        <v>141</v>
      </c>
    </row>
    <row r="18" customFormat="false" ht="15" hidden="false" customHeight="false" outlineLevel="0" collapsed="false">
      <c r="A18" s="10" t="s">
        <v>147</v>
      </c>
      <c r="B18" s="10" t="s">
        <v>148</v>
      </c>
      <c r="C18" s="5" t="s">
        <v>149</v>
      </c>
      <c r="D18" s="5" t="s">
        <v>116</v>
      </c>
      <c r="E18" s="5" t="s">
        <v>119</v>
      </c>
    </row>
    <row r="19" customFormat="false" ht="15" hidden="false" customHeight="false" outlineLevel="0" collapsed="false">
      <c r="A19" s="10" t="s">
        <v>147</v>
      </c>
      <c r="B19" s="10" t="s">
        <v>150</v>
      </c>
      <c r="C19" s="5" t="s">
        <v>151</v>
      </c>
      <c r="D19" s="5" t="s">
        <v>116</v>
      </c>
      <c r="E19" s="5" t="s">
        <v>41</v>
      </c>
    </row>
    <row r="20" customFormat="false" ht="15" hidden="false" customHeight="false" outlineLevel="0" collapsed="false">
      <c r="A20" s="10" t="s">
        <v>152</v>
      </c>
      <c r="B20" s="10" t="s">
        <v>153</v>
      </c>
      <c r="C20" s="5" t="s">
        <v>154</v>
      </c>
      <c r="D20" s="5" t="s">
        <v>140</v>
      </c>
      <c r="E20" s="5" t="s">
        <v>141</v>
      </c>
    </row>
    <row r="21" customFormat="false" ht="15" hidden="false" customHeight="false" outlineLevel="0" collapsed="false">
      <c r="A21" s="10" t="s">
        <v>152</v>
      </c>
      <c r="B21" s="10" t="s">
        <v>155</v>
      </c>
      <c r="C21" s="5" t="s">
        <v>156</v>
      </c>
      <c r="D21" s="5" t="s">
        <v>116</v>
      </c>
      <c r="E21" s="5" t="s">
        <v>41</v>
      </c>
    </row>
    <row r="23" customFormat="false" ht="15" hidden="false" customHeight="false" outlineLevel="0" collapsed="false">
      <c r="B23" s="11" t="s">
        <v>157</v>
      </c>
      <c r="D23" s="12" t="n">
        <f aca="false">COUNTA(D5:D21)</f>
        <v>17</v>
      </c>
    </row>
    <row r="24" customFormat="false" ht="15" hidden="false" customHeight="false" outlineLevel="0" collapsed="false">
      <c r="B24" s="11" t="s">
        <v>140</v>
      </c>
      <c r="D24" s="12" t="n">
        <f aca="false">COUNTIF(D5:D21,"Ready")</f>
        <v>3</v>
      </c>
    </row>
    <row r="25" customFormat="false" ht="15" hidden="false" customHeight="false" outlineLevel="0" collapsed="false">
      <c r="B25" s="11" t="s">
        <v>158</v>
      </c>
      <c r="D25" s="12" t="n">
        <f aca="false">COUNTA(D5:D21)-COUNTIF(D5:D21,"Ready")</f>
        <v>14</v>
      </c>
    </row>
    <row r="26" customFormat="false" ht="15" hidden="false" customHeight="false" outlineLevel="0" collapsed="false">
      <c r="B26" s="11" t="s">
        <v>159</v>
      </c>
      <c r="D26" s="13" t="n">
        <f aca="false">IFERROR(COUNTIF(D5:D21,"Ready")/COUNTA(D5:D21),0)</f>
        <v>0.176470588235294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161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167</v>
      </c>
      <c r="G4" s="3" t="s">
        <v>168</v>
      </c>
    </row>
    <row r="5" customFormat="false" ht="23.85" hidden="false" customHeight="false" outlineLevel="0" collapsed="false">
      <c r="A5" s="4" t="s">
        <v>169</v>
      </c>
      <c r="B5" s="5" t="s">
        <v>170</v>
      </c>
      <c r="C5" s="14" t="n">
        <v>4</v>
      </c>
      <c r="D5" s="14" t="n">
        <v>4</v>
      </c>
      <c r="E5" s="15" t="n">
        <f aca="false">C5*D5</f>
        <v>16</v>
      </c>
      <c r="F5" s="5" t="s">
        <v>171</v>
      </c>
      <c r="G5" s="5" t="s">
        <v>172</v>
      </c>
    </row>
    <row r="6" customFormat="false" ht="23.85" hidden="false" customHeight="false" outlineLevel="0" collapsed="false">
      <c r="A6" s="4" t="s">
        <v>173</v>
      </c>
      <c r="B6" s="5" t="s">
        <v>174</v>
      </c>
      <c r="C6" s="14" t="n">
        <v>3</v>
      </c>
      <c r="D6" s="14" t="n">
        <v>4</v>
      </c>
      <c r="E6" s="15" t="n">
        <f aca="false">C6*D6</f>
        <v>12</v>
      </c>
      <c r="F6" s="5" t="s">
        <v>175</v>
      </c>
      <c r="G6" s="5" t="s">
        <v>176</v>
      </c>
    </row>
    <row r="7" customFormat="false" ht="35.05" hidden="false" customHeight="false" outlineLevel="0" collapsed="false">
      <c r="A7" s="4" t="s">
        <v>177</v>
      </c>
      <c r="B7" s="5" t="s">
        <v>178</v>
      </c>
      <c r="C7" s="14" t="n">
        <v>3</v>
      </c>
      <c r="D7" s="14" t="n">
        <v>3</v>
      </c>
      <c r="E7" s="15" t="n">
        <f aca="false">C7*D7</f>
        <v>9</v>
      </c>
      <c r="F7" s="5" t="s">
        <v>179</v>
      </c>
      <c r="G7" s="5" t="s">
        <v>180</v>
      </c>
    </row>
    <row r="8" customFormat="false" ht="23.85" hidden="false" customHeight="false" outlineLevel="0" collapsed="false">
      <c r="A8" s="4" t="s">
        <v>181</v>
      </c>
      <c r="B8" s="5" t="s">
        <v>182</v>
      </c>
      <c r="C8" s="14" t="n">
        <v>2</v>
      </c>
      <c r="D8" s="14" t="n">
        <v>4</v>
      </c>
      <c r="E8" s="15" t="n">
        <f aca="false">C8*D8</f>
        <v>8</v>
      </c>
      <c r="F8" s="5" t="s">
        <v>183</v>
      </c>
      <c r="G8" s="5" t="s">
        <v>184</v>
      </c>
    </row>
    <row r="9" customFormat="false" ht="23.85" hidden="false" customHeight="false" outlineLevel="0" collapsed="false">
      <c r="A9" s="4" t="s">
        <v>185</v>
      </c>
      <c r="B9" s="5" t="s">
        <v>186</v>
      </c>
      <c r="C9" s="14" t="n">
        <v>4</v>
      </c>
      <c r="D9" s="14" t="n">
        <v>3</v>
      </c>
      <c r="E9" s="15" t="n">
        <f aca="false">C9*D9</f>
        <v>12</v>
      </c>
      <c r="F9" s="5" t="s">
        <v>187</v>
      </c>
      <c r="G9" s="5" t="s">
        <v>188</v>
      </c>
    </row>
    <row r="10" customFormat="false" ht="23.85" hidden="false" customHeight="false" outlineLevel="0" collapsed="false">
      <c r="A10" s="4" t="s">
        <v>189</v>
      </c>
      <c r="B10" s="5" t="s">
        <v>190</v>
      </c>
      <c r="C10" s="14" t="n">
        <v>2</v>
      </c>
      <c r="D10" s="14" t="n">
        <v>3</v>
      </c>
      <c r="E10" s="15" t="n">
        <f aca="false">C10*D10</f>
        <v>6</v>
      </c>
      <c r="F10" s="5" t="s">
        <v>191</v>
      </c>
      <c r="G10" s="5" t="s">
        <v>192</v>
      </c>
    </row>
    <row r="11" customFormat="false" ht="46.25" hidden="false" customHeight="false" outlineLevel="0" collapsed="false">
      <c r="A11" s="4" t="s">
        <v>193</v>
      </c>
      <c r="B11" s="5" t="s">
        <v>194</v>
      </c>
      <c r="C11" s="14" t="n">
        <v>3</v>
      </c>
      <c r="D11" s="14" t="n">
        <v>5</v>
      </c>
      <c r="E11" s="15" t="n">
        <f aca="false">C11*D11</f>
        <v>15</v>
      </c>
      <c r="F11" s="5" t="s">
        <v>195</v>
      </c>
      <c r="G11" s="5" t="s">
        <v>196</v>
      </c>
    </row>
    <row r="12" customFormat="false" ht="23.85" hidden="false" customHeight="false" outlineLevel="0" collapsed="false">
      <c r="A12" s="4" t="s">
        <v>197</v>
      </c>
      <c r="B12" s="5" t="s">
        <v>198</v>
      </c>
      <c r="C12" s="14" t="n">
        <v>3</v>
      </c>
      <c r="D12" s="14" t="n">
        <v>2</v>
      </c>
      <c r="E12" s="15" t="n">
        <f aca="false">C12*D12</f>
        <v>6</v>
      </c>
      <c r="F12" s="5" t="s">
        <v>199</v>
      </c>
      <c r="G12" s="5" t="s">
        <v>200</v>
      </c>
    </row>
    <row r="13" customFormat="false" ht="23.85" hidden="false" customHeight="false" outlineLevel="0" collapsed="false">
      <c r="A13" s="4" t="s">
        <v>201</v>
      </c>
      <c r="B13" s="5" t="s">
        <v>202</v>
      </c>
      <c r="C13" s="14" t="n">
        <v>2</v>
      </c>
      <c r="D13" s="14" t="n">
        <v>3</v>
      </c>
      <c r="E13" s="15" t="n">
        <f aca="false">C13*D13</f>
        <v>6</v>
      </c>
      <c r="F13" s="5" t="s">
        <v>203</v>
      </c>
      <c r="G13" s="5" t="s">
        <v>204</v>
      </c>
    </row>
    <row r="15" customFormat="false" ht="15" hidden="false" customHeight="false" outlineLevel="0" collapsed="false">
      <c r="A15" s="11" t="s">
        <v>205</v>
      </c>
      <c r="E15" s="12" t="n">
        <f aca="false">MAX(E5:E13)</f>
        <v>16</v>
      </c>
    </row>
    <row r="16" customFormat="false" ht="15" hidden="false" customHeight="false" outlineLevel="0" collapsed="false">
      <c r="A16" s="11" t="s">
        <v>206</v>
      </c>
      <c r="E16" s="12" t="n">
        <f aca="false">COUNTIF(E5:E13,"&gt;=12")</f>
        <v>4</v>
      </c>
    </row>
    <row r="17" customFormat="false" ht="15" hidden="false" customHeight="false" outlineLevel="0" collapsed="false">
      <c r="A17" s="8" t="s">
        <v>207</v>
      </c>
    </row>
  </sheetData>
  <mergeCells count="2">
    <mergeCell ref="A1:G1"/>
    <mergeCell ref="A2:G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" t="s">
        <v>208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209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110</v>
      </c>
      <c r="B4" s="3" t="s">
        <v>210</v>
      </c>
      <c r="C4" s="3" t="s">
        <v>211</v>
      </c>
      <c r="D4" s="3" t="s">
        <v>212</v>
      </c>
      <c r="E4" s="3" t="s">
        <v>213</v>
      </c>
    </row>
    <row r="5" customFormat="false" ht="22.35" hidden="false" customHeight="false" outlineLevel="0" collapsed="false">
      <c r="A5" s="5" t="s">
        <v>214</v>
      </c>
      <c r="B5" s="5" t="s">
        <v>215</v>
      </c>
      <c r="C5" s="16" t="n">
        <v>22300</v>
      </c>
      <c r="D5" s="17"/>
      <c r="E5" s="6" t="s">
        <v>216</v>
      </c>
    </row>
    <row r="6" customFormat="false" ht="15" hidden="false" customHeight="false" outlineLevel="0" collapsed="false">
      <c r="A6" s="5" t="s">
        <v>214</v>
      </c>
      <c r="B6" s="5" t="s">
        <v>217</v>
      </c>
      <c r="C6" s="16" t="n">
        <v>3940</v>
      </c>
      <c r="D6" s="17"/>
      <c r="E6" s="6" t="s">
        <v>218</v>
      </c>
    </row>
    <row r="7" customFormat="false" ht="15" hidden="false" customHeight="false" outlineLevel="0" collapsed="false">
      <c r="A7" s="5" t="s">
        <v>214</v>
      </c>
      <c r="B7" s="5" t="s">
        <v>219</v>
      </c>
      <c r="C7" s="16" t="n">
        <v>1576</v>
      </c>
      <c r="D7" s="17"/>
      <c r="E7" s="6" t="s">
        <v>220</v>
      </c>
    </row>
    <row r="8" customFormat="false" ht="15" hidden="false" customHeight="false" outlineLevel="0" collapsed="false">
      <c r="A8" s="5" t="s">
        <v>214</v>
      </c>
      <c r="B8" s="5" t="s">
        <v>221</v>
      </c>
      <c r="C8" s="16" t="n">
        <v>4704</v>
      </c>
      <c r="D8" s="17"/>
      <c r="E8" s="6" t="s">
        <v>222</v>
      </c>
    </row>
    <row r="9" customFormat="false" ht="15" hidden="false" customHeight="false" outlineLevel="0" collapsed="false">
      <c r="A9" s="5" t="s">
        <v>223</v>
      </c>
      <c r="B9" s="5" t="s">
        <v>224</v>
      </c>
      <c r="C9" s="15" t="n">
        <v>33</v>
      </c>
      <c r="D9" s="17"/>
      <c r="E9" s="6" t="s">
        <v>225</v>
      </c>
    </row>
    <row r="10" customFormat="false" ht="15" hidden="false" customHeight="false" outlineLevel="0" collapsed="false">
      <c r="A10" s="5" t="s">
        <v>223</v>
      </c>
      <c r="B10" s="5" t="s">
        <v>226</v>
      </c>
      <c r="C10" s="15" t="n">
        <v>11</v>
      </c>
      <c r="D10" s="17"/>
      <c r="E10" s="6" t="s">
        <v>227</v>
      </c>
    </row>
    <row r="11" customFormat="false" ht="22.35" hidden="false" customHeight="false" outlineLevel="0" collapsed="false">
      <c r="A11" s="5" t="s">
        <v>228</v>
      </c>
      <c r="B11" s="5" t="s">
        <v>229</v>
      </c>
      <c r="C11" s="15" t="n">
        <v>18</v>
      </c>
      <c r="D11" s="17"/>
      <c r="E11" s="6" t="s">
        <v>230</v>
      </c>
    </row>
    <row r="12" customFormat="false" ht="15" hidden="false" customHeight="false" outlineLevel="0" collapsed="false">
      <c r="A12" s="5" t="s">
        <v>228</v>
      </c>
      <c r="B12" s="5" t="s">
        <v>231</v>
      </c>
      <c r="C12" s="15" t="n">
        <v>7</v>
      </c>
      <c r="D12" s="17"/>
      <c r="E12" s="6" t="s">
        <v>232</v>
      </c>
    </row>
    <row r="13" customFormat="false" ht="15" hidden="false" customHeight="false" outlineLevel="0" collapsed="false">
      <c r="A13" s="5" t="s">
        <v>228</v>
      </c>
      <c r="B13" s="5" t="s">
        <v>233</v>
      </c>
      <c r="C13" s="15" t="n">
        <v>2.2</v>
      </c>
      <c r="D13" s="17"/>
      <c r="E13" s="6" t="s">
        <v>234</v>
      </c>
    </row>
    <row r="14" customFormat="false" ht="15" hidden="false" customHeight="false" outlineLevel="0" collapsed="false">
      <c r="A14" s="5" t="s">
        <v>228</v>
      </c>
      <c r="B14" s="5" t="s">
        <v>235</v>
      </c>
      <c r="C14" s="15" t="n">
        <v>0</v>
      </c>
      <c r="D14" s="17"/>
      <c r="E14" s="6" t="s">
        <v>236</v>
      </c>
    </row>
    <row r="15" customFormat="false" ht="22.35" hidden="false" customHeight="false" outlineLevel="0" collapsed="false">
      <c r="A15" s="5" t="s">
        <v>237</v>
      </c>
      <c r="B15" s="5" t="s">
        <v>238</v>
      </c>
      <c r="C15" s="15" t="n">
        <v>32</v>
      </c>
      <c r="D15" s="17"/>
      <c r="E15" s="6" t="s">
        <v>239</v>
      </c>
    </row>
    <row r="16" customFormat="false" ht="22.35" hidden="false" customHeight="false" outlineLevel="0" collapsed="false">
      <c r="A16" s="5" t="s">
        <v>237</v>
      </c>
      <c r="B16" s="5" t="s">
        <v>240</v>
      </c>
      <c r="C16" s="15" t="n">
        <v>25</v>
      </c>
      <c r="D16" s="17"/>
      <c r="E16" s="6" t="s">
        <v>241</v>
      </c>
    </row>
    <row r="17" customFormat="false" ht="15" hidden="false" customHeight="false" outlineLevel="0" collapsed="false">
      <c r="A17" s="5" t="s">
        <v>237</v>
      </c>
      <c r="B17" s="5" t="s">
        <v>242</v>
      </c>
      <c r="C17" s="15" t="n">
        <v>22</v>
      </c>
      <c r="D17" s="18" t="n">
        <f aca="false">C17/C16</f>
        <v>0.88</v>
      </c>
      <c r="E17" s="6" t="s">
        <v>243</v>
      </c>
    </row>
    <row r="18" customFormat="false" ht="15" hidden="false" customHeight="false" outlineLevel="0" collapsed="false">
      <c r="A18" s="5" t="s">
        <v>237</v>
      </c>
      <c r="B18" s="5" t="s">
        <v>244</v>
      </c>
      <c r="C18" s="15" t="n">
        <v>14</v>
      </c>
      <c r="D18" s="18" t="n">
        <f aca="false">C18/C16</f>
        <v>0.56</v>
      </c>
      <c r="E18" s="6" t="s">
        <v>245</v>
      </c>
    </row>
    <row r="19" customFormat="false" ht="15" hidden="false" customHeight="false" outlineLevel="0" collapsed="false">
      <c r="A19" s="5" t="s">
        <v>237</v>
      </c>
      <c r="B19" s="5" t="s">
        <v>246</v>
      </c>
      <c r="C19" s="15" t="n">
        <v>95</v>
      </c>
      <c r="D19" s="18" t="n">
        <f aca="false">C19/112</f>
        <v>0.848214285714286</v>
      </c>
      <c r="E19" s="6" t="s">
        <v>247</v>
      </c>
    </row>
    <row r="20" customFormat="false" ht="22.35" hidden="false" customHeight="false" outlineLevel="0" collapsed="false">
      <c r="A20" s="5" t="s">
        <v>237</v>
      </c>
      <c r="B20" s="5" t="s">
        <v>248</v>
      </c>
      <c r="C20" s="15" t="n">
        <v>121</v>
      </c>
      <c r="D20" s="17"/>
      <c r="E20" s="6" t="s">
        <v>249</v>
      </c>
    </row>
    <row r="21" customFormat="false" ht="15" hidden="false" customHeight="false" outlineLevel="0" collapsed="false">
      <c r="A21" s="5" t="s">
        <v>237</v>
      </c>
      <c r="B21" s="5" t="s">
        <v>250</v>
      </c>
      <c r="C21" s="16" t="n">
        <v>387302</v>
      </c>
      <c r="D21" s="17"/>
      <c r="E21" s="6" t="s">
        <v>251</v>
      </c>
    </row>
    <row r="22" customFormat="false" ht="15" hidden="false" customHeight="false" outlineLevel="0" collapsed="false">
      <c r="A22" s="5" t="s">
        <v>252</v>
      </c>
      <c r="B22" s="5" t="s">
        <v>253</v>
      </c>
      <c r="C22" s="19" t="n">
        <v>0.95</v>
      </c>
      <c r="D22" s="17"/>
      <c r="E22" s="6" t="s">
        <v>254</v>
      </c>
    </row>
    <row r="23" customFormat="false" ht="15" hidden="false" customHeight="false" outlineLevel="0" collapsed="false">
      <c r="A23" s="5" t="s">
        <v>252</v>
      </c>
      <c r="B23" s="5" t="s">
        <v>255</v>
      </c>
      <c r="C23" s="19" t="n">
        <v>0.99</v>
      </c>
      <c r="D23" s="17"/>
      <c r="E23" s="6" t="s">
        <v>256</v>
      </c>
    </row>
    <row r="24" customFormat="false" ht="15" hidden="false" customHeight="false" outlineLevel="0" collapsed="false">
      <c r="A24" s="5" t="s">
        <v>252</v>
      </c>
      <c r="B24" s="5" t="s">
        <v>257</v>
      </c>
      <c r="C24" s="19" t="n">
        <v>1</v>
      </c>
      <c r="D24" s="17"/>
      <c r="E24" s="6" t="s">
        <v>256</v>
      </c>
    </row>
    <row r="25" customFormat="false" ht="15" hidden="false" customHeight="false" outlineLevel="0" collapsed="false">
      <c r="A25" s="5" t="s">
        <v>252</v>
      </c>
      <c r="B25" s="5" t="s">
        <v>258</v>
      </c>
      <c r="C25" s="15" t="n">
        <v>28.37</v>
      </c>
      <c r="D25" s="17"/>
      <c r="E25" s="6" t="s">
        <v>259</v>
      </c>
    </row>
    <row r="26" customFormat="false" ht="15" hidden="false" customHeight="false" outlineLevel="0" collapsed="false">
      <c r="A26" s="5" t="s">
        <v>252</v>
      </c>
      <c r="B26" s="5" t="s">
        <v>260</v>
      </c>
      <c r="C26" s="19" t="n">
        <v>0.74</v>
      </c>
      <c r="D26" s="17"/>
      <c r="E26" s="6" t="s">
        <v>261</v>
      </c>
    </row>
    <row r="27" customFormat="false" ht="15" hidden="false" customHeight="false" outlineLevel="0" collapsed="false">
      <c r="A27" s="5" t="s">
        <v>252</v>
      </c>
      <c r="B27" s="5" t="s">
        <v>262</v>
      </c>
      <c r="C27" s="19" t="n">
        <v>0.9629</v>
      </c>
      <c r="D27" s="17"/>
      <c r="E27" s="6" t="s">
        <v>256</v>
      </c>
    </row>
    <row r="28" customFormat="false" ht="15" hidden="false" customHeight="false" outlineLevel="0" collapsed="false">
      <c r="A28" s="5" t="s">
        <v>252</v>
      </c>
      <c r="B28" s="5" t="s">
        <v>263</v>
      </c>
      <c r="C28" s="15" t="n">
        <v>100</v>
      </c>
      <c r="D28" s="17"/>
      <c r="E28" s="6" t="s">
        <v>264</v>
      </c>
    </row>
    <row r="29" customFormat="false" ht="22.35" hidden="false" customHeight="false" outlineLevel="0" collapsed="false">
      <c r="A29" s="5" t="s">
        <v>265</v>
      </c>
      <c r="B29" s="5" t="s">
        <v>266</v>
      </c>
      <c r="C29" s="16" t="n">
        <v>250000</v>
      </c>
      <c r="D29" s="17"/>
      <c r="E29" s="6" t="s">
        <v>267</v>
      </c>
    </row>
    <row r="30" customFormat="false" ht="15" hidden="false" customHeight="false" outlineLevel="0" collapsed="false">
      <c r="A30" s="5" t="s">
        <v>268</v>
      </c>
      <c r="B30" s="5" t="s">
        <v>269</v>
      </c>
      <c r="C30" s="15" t="n">
        <v>4</v>
      </c>
      <c r="D30" s="17"/>
      <c r="E30" s="6" t="s">
        <v>270</v>
      </c>
    </row>
    <row r="31" customFormat="false" ht="15" hidden="false" customHeight="false" outlineLevel="0" collapsed="false">
      <c r="A31" s="5" t="s">
        <v>268</v>
      </c>
      <c r="B31" s="5" t="s">
        <v>271</v>
      </c>
      <c r="C31" s="15" t="n">
        <v>5</v>
      </c>
      <c r="D31" s="17"/>
      <c r="E31" s="6" t="s">
        <v>272</v>
      </c>
    </row>
    <row r="32" customFormat="false" ht="15" hidden="false" customHeight="false" outlineLevel="0" collapsed="false">
      <c r="A32" s="5" t="s">
        <v>273</v>
      </c>
      <c r="B32" s="5" t="s">
        <v>274</v>
      </c>
      <c r="C32" s="15" t="n">
        <v>2</v>
      </c>
      <c r="D32" s="17"/>
      <c r="E32" s="6" t="s">
        <v>275</v>
      </c>
    </row>
    <row r="34" customFormat="false" ht="15" hidden="false" customHeight="false" outlineLevel="0" collapsed="false">
      <c r="A34" s="8" t="s">
        <v>276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277</v>
      </c>
      <c r="B1" s="1"/>
      <c r="C1" s="1"/>
    </row>
    <row r="2" customFormat="false" ht="15.75" hidden="false" customHeight="true" outlineLevel="0" collapsed="false">
      <c r="A2" s="2" t="s">
        <v>278</v>
      </c>
      <c r="B2" s="2"/>
      <c r="C2" s="2"/>
    </row>
    <row r="4" customFormat="false" ht="27.75" hidden="false" customHeight="true" outlineLevel="0" collapsed="false">
      <c r="A4" s="3" t="s">
        <v>279</v>
      </c>
      <c r="B4" s="3" t="s">
        <v>280</v>
      </c>
      <c r="C4" s="3" t="s">
        <v>281</v>
      </c>
    </row>
    <row r="5" customFormat="false" ht="23.85" hidden="false" customHeight="false" outlineLevel="0" collapsed="false">
      <c r="A5" s="4" t="s">
        <v>282</v>
      </c>
      <c r="B5" s="5" t="s">
        <v>283</v>
      </c>
      <c r="C5" s="5" t="s">
        <v>284</v>
      </c>
    </row>
    <row r="6" customFormat="false" ht="15" hidden="false" customHeight="false" outlineLevel="0" collapsed="false">
      <c r="A6" s="4" t="s">
        <v>285</v>
      </c>
      <c r="B6" s="5" t="s">
        <v>286</v>
      </c>
      <c r="C6" s="5" t="s">
        <v>287</v>
      </c>
    </row>
    <row r="7" customFormat="false" ht="15" hidden="false" customHeight="false" outlineLevel="0" collapsed="false">
      <c r="A7" s="4" t="s">
        <v>288</v>
      </c>
      <c r="B7" s="5" t="s">
        <v>289</v>
      </c>
      <c r="C7" s="5" t="s">
        <v>290</v>
      </c>
    </row>
    <row r="8" customFormat="false" ht="15" hidden="false" customHeight="false" outlineLevel="0" collapsed="false">
      <c r="A8" s="4" t="s">
        <v>291</v>
      </c>
      <c r="B8" s="5" t="s">
        <v>292</v>
      </c>
      <c r="C8" s="5" t="s">
        <v>293</v>
      </c>
    </row>
    <row r="9" customFormat="false" ht="23.85" hidden="false" customHeight="false" outlineLevel="0" collapsed="false">
      <c r="A9" s="4" t="s">
        <v>294</v>
      </c>
      <c r="B9" s="5" t="s">
        <v>295</v>
      </c>
      <c r="C9" s="5" t="s">
        <v>293</v>
      </c>
    </row>
    <row r="10" customFormat="false" ht="23.85" hidden="false" customHeight="false" outlineLevel="0" collapsed="false">
      <c r="A10" s="4" t="s">
        <v>296</v>
      </c>
      <c r="B10" s="5" t="s">
        <v>297</v>
      </c>
      <c r="C10" s="5" t="s">
        <v>293</v>
      </c>
    </row>
    <row r="11" customFormat="false" ht="15" hidden="false" customHeight="false" outlineLevel="0" collapsed="false">
      <c r="A11" s="4" t="s">
        <v>298</v>
      </c>
      <c r="B11" s="5" t="s">
        <v>299</v>
      </c>
      <c r="C11" s="5" t="s">
        <v>293</v>
      </c>
    </row>
    <row r="12" customFormat="false" ht="23.85" hidden="false" customHeight="false" outlineLevel="0" collapsed="false">
      <c r="A12" s="4" t="s">
        <v>300</v>
      </c>
      <c r="B12" s="5" t="s">
        <v>301</v>
      </c>
      <c r="C12" s="5" t="s">
        <v>293</v>
      </c>
    </row>
    <row r="13" customFormat="false" ht="15" hidden="false" customHeight="false" outlineLevel="0" collapsed="false">
      <c r="A13" s="4" t="s">
        <v>302</v>
      </c>
      <c r="B13" s="5" t="s">
        <v>303</v>
      </c>
      <c r="C13" s="5" t="s">
        <v>293</v>
      </c>
    </row>
    <row r="14" customFormat="false" ht="23.85" hidden="false" customHeight="false" outlineLevel="0" collapsed="false">
      <c r="A14" s="4" t="s">
        <v>304</v>
      </c>
      <c r="B14" s="5" t="s">
        <v>305</v>
      </c>
      <c r="C14" s="5" t="s">
        <v>293</v>
      </c>
    </row>
    <row r="15" customFormat="false" ht="15" hidden="false" customHeight="false" outlineLevel="0" collapsed="false">
      <c r="A15" s="4" t="s">
        <v>306</v>
      </c>
      <c r="B15" s="5" t="s">
        <v>307</v>
      </c>
      <c r="C15" s="5" t="s">
        <v>293</v>
      </c>
    </row>
    <row r="17" customFormat="false" ht="23.85" hidden="false" customHeight="false" outlineLevel="0" collapsed="false">
      <c r="A17" s="11" t="s">
        <v>308</v>
      </c>
      <c r="B17" s="20" t="s">
        <v>309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2026-09-24T08:53:56Z</dcterms:created>
  <dc:creator>openpyxl</dc:creator>
  <dc:description/>
  <dc:language>en-US</dc:language>
  <cp:lastModifiedBy/>
  <dcterms:modified xsi:type="dcterms:W3CDTF">2026-09-24T08:53:56Z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